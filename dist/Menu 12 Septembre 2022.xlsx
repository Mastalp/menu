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65" yWindow="5535" windowWidth="28800" windowHeight="15435" tabRatio="600" firstSheet="0" activeTab="0" autoFilterDateGrouping="1"/>
  </bookViews>
  <sheets>
    <sheet xmlns:r="http://schemas.openxmlformats.org/officeDocument/2006/relationships"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49" t="n">
        <v>44816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5" t="n"/>
      <c r="B2" s="53" t="n"/>
      <c r="C2" s="4" t="inlineStr">
        <is>
          <t>HEURES</t>
        </is>
      </c>
      <c r="D2" s="47" t="inlineStr">
        <is>
          <t>SERVICES</t>
        </is>
      </c>
      <c r="E2" s="54" t="n"/>
      <c r="F2" s="42">
        <f>$A$1+COLUMN()-6</f>
        <v/>
      </c>
      <c r="G2" s="55" t="n"/>
      <c r="H2" s="42">
        <f>$A$1+COLUMN()-7</f>
        <v/>
      </c>
      <c r="I2" s="55" t="n"/>
      <c r="J2" s="42">
        <f>$A$1+COLUMN()-8</f>
        <v/>
      </c>
      <c r="K2" s="55" t="n"/>
      <c r="L2" s="42">
        <f>$A$1+COLUMN()-9</f>
        <v/>
      </c>
      <c r="M2" s="55" t="n"/>
      <c r="N2" s="42">
        <f>$A$1+COLUMN()-10</f>
        <v/>
      </c>
      <c r="O2" s="55" t="n"/>
      <c r="P2" s="42">
        <f>$A$1+COLUMN()-11</f>
        <v/>
      </c>
      <c r="Q2" s="55" t="n"/>
      <c r="R2" s="42">
        <f>$A$1+COLUMN()-12</f>
        <v/>
      </c>
      <c r="S2" s="55" t="n"/>
    </row>
    <row r="3" ht="30" customHeight="1" s="1">
      <c r="A3" s="8" t="inlineStr">
        <is>
          <t>FR</t>
        </is>
      </c>
      <c r="B3" s="47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Potage crecy au thym( crème de carottes)</t>
        </is>
      </c>
      <c r="G4" s="17" t="inlineStr">
        <is>
          <t>Crecy soup with thyme (carrot cream)</t>
        </is>
      </c>
      <c r="H4" s="16" t="inlineStr">
        <is>
          <t>Soupe aux légumes et  à l'orzo</t>
        </is>
      </c>
      <c r="I4" s="17" t="inlineStr">
        <is>
          <t>Vegetable and orzo soup</t>
        </is>
      </c>
      <c r="J4" s="16" t="inlineStr">
        <is>
          <t>Crème de courge musqué à la muscade</t>
        </is>
      </c>
      <c r="K4" s="17" t="inlineStr">
        <is>
          <t>Cream of butternut squash with nutmeg</t>
        </is>
      </c>
      <c r="L4" s="16" t="inlineStr">
        <is>
          <t>Soupe au boeuf et  à l'orge</t>
        </is>
      </c>
      <c r="M4" s="17" t="inlineStr">
        <is>
          <t>Beef and barley soup</t>
        </is>
      </c>
      <c r="N4" s="16" t="inlineStr">
        <is>
          <t>Crème de brocoli et ail roti</t>
        </is>
      </c>
      <c r="O4" s="17" t="inlineStr">
        <is>
          <t>Cream of broccoli and roasted garlic</t>
        </is>
      </c>
      <c r="P4" s="16" t="inlineStr">
        <is>
          <t>Soupe aux  tomates et   au mais</t>
        </is>
      </c>
      <c r="Q4" s="17" t="inlineStr">
        <is>
          <t>Tomato and corn soup</t>
        </is>
      </c>
      <c r="R4" s="16" t="inlineStr">
        <is>
          <t>Soupe au bœuf et  à la tomate</t>
        </is>
      </c>
      <c r="S4" s="17" t="inlineStr">
        <is>
          <t>Beef and tomato soup</t>
        </is>
      </c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bettraves rouges et aux pommes</t>
        </is>
      </c>
      <c r="G5" s="17" t="inlineStr">
        <is>
          <t>Red beet and apple salad</t>
        </is>
      </c>
      <c r="H5" s="16" t="inlineStr">
        <is>
          <t>Salade verte vinaigrette balsamique</t>
        </is>
      </c>
      <c r="I5" s="17" t="inlineStr">
        <is>
          <t>Green salad with balsamic vinaigrette</t>
        </is>
      </c>
      <c r="J5" s="16" t="inlineStr">
        <is>
          <t>Assiette de terrine avec chutney de canneberges</t>
        </is>
      </c>
      <c r="K5" s="17" t="inlineStr">
        <is>
          <t>Plate of terrine with cranberry chutney</t>
        </is>
      </c>
      <c r="L5" s="16" t="inlineStr">
        <is>
          <t>Dumplings au porc frits servi avec sauce aux prunes</t>
        </is>
      </c>
      <c r="M5" s="17" t="inlineStr">
        <is>
          <t>Fried pork dumplings served with plum sauce</t>
        </is>
      </c>
      <c r="N5" s="16" t="inlineStr">
        <is>
          <t>Salade d'orzo fromage feta tomates et concombres</t>
        </is>
      </c>
      <c r="O5" s="17" t="inlineStr">
        <is>
          <t>Orzo salad with feta cheese, tomatoes and cucumbers</t>
        </is>
      </c>
      <c r="P5" s="16" t="inlineStr">
        <is>
          <t>Salade de cœurs d'artichauts et tomates cerises</t>
        </is>
      </c>
      <c r="Q5" s="17" t="inlineStr">
        <is>
          <t>Salad of artichoke hearts and cherry tomatoes</t>
        </is>
      </c>
      <c r="R5" s="16" t="inlineStr">
        <is>
          <t>Salade de mais haricot rouge au cumin et à la coriandre</t>
        </is>
      </c>
      <c r="S5" s="17" t="inlineStr">
        <is>
          <t>Red bean corn salad with cumin and coriander</t>
        </is>
      </c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Omelette au fromage feta et aux tomates</t>
        </is>
      </c>
      <c r="G6" s="17" t="inlineStr">
        <is>
          <t>Omelet with feta cheese and tomatoes</t>
        </is>
      </c>
      <c r="H6" s="16" t="inlineStr">
        <is>
          <t>Wrap  a la salade de goberge</t>
        </is>
      </c>
      <c r="I6" s="17" t="inlineStr">
        <is>
          <t>Crabstick salad wrap</t>
        </is>
      </c>
      <c r="J6" s="16" t="inlineStr">
        <is>
          <t>Pizza végétarienne et salade romaine vinaigrette italienne</t>
        </is>
      </c>
      <c r="K6" s="17" t="inlineStr">
        <is>
          <t>Vegetarian pizza and romaine salad with Italian dressing</t>
        </is>
      </c>
      <c r="L6" s="16" t="inlineStr">
        <is>
          <t>Sandwich au bœuf braisé et au champignons</t>
        </is>
      </c>
      <c r="M6" s="17" t="inlineStr">
        <is>
          <t>Braised Beef and Mushroom Sandwich</t>
        </is>
      </c>
      <c r="N6" s="16" t="inlineStr">
        <is>
          <t>Salade asiatique au poulet grillé vinaigrette au sésame maison</t>
        </is>
      </c>
      <c r="O6" s="17" t="inlineStr">
        <is>
          <t>Asian grilled chicken salad with homemade sesame dressing</t>
        </is>
      </c>
      <c r="P6" s="16" t="inlineStr">
        <is>
          <t>Penne sauce primavera</t>
        </is>
      </c>
      <c r="Q6" s="17" t="inlineStr">
        <is>
          <t>Penne spring sauce</t>
        </is>
      </c>
      <c r="R6" s="16" t="inlineStr">
        <is>
          <t>Déjeuner gourmand</t>
        </is>
      </c>
      <c r="S6" s="17" t="inlineStr">
        <is>
          <t>Gourmet lunch</t>
        </is>
      </c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Morue salsa concombre et basilic</t>
        </is>
      </c>
      <c r="G7" s="17" t="inlineStr">
        <is>
          <t>Cod with cucumber and basil salsa</t>
        </is>
      </c>
      <c r="H7" s="16" t="inlineStr">
        <is>
          <t>Couscous végétarien</t>
        </is>
      </c>
      <c r="I7" s="17" t="inlineStr">
        <is>
          <t>Vegetarian Couscous</t>
        </is>
      </c>
      <c r="J7" s="16" t="inlineStr">
        <is>
          <t>Aiglefin sauce  salsa verde</t>
        </is>
      </c>
      <c r="K7" s="17" t="inlineStr">
        <is>
          <t>Aiglefin sauce  salsa verde</t>
        </is>
      </c>
      <c r="L7" s="16" t="inlineStr">
        <is>
          <t>Salade nicoise repas au thon effiloché</t>
        </is>
      </c>
      <c r="M7" s="17" t="inlineStr">
        <is>
          <t>Salad nicoise meal with shredded tuna</t>
        </is>
      </c>
      <c r="N7" s="16" t="inlineStr">
        <is>
          <t>Quiche brocoli et cheddar</t>
        </is>
      </c>
      <c r="O7" s="17" t="inlineStr">
        <is>
          <t>Broccoli and cheddar quiche</t>
        </is>
      </c>
      <c r="P7" s="16" t="inlineStr">
        <is>
          <t>Burger de canartd et de porc</t>
        </is>
      </c>
      <c r="Q7" s="17" t="inlineStr">
        <is>
          <t>Duck and pork burger</t>
        </is>
      </c>
      <c r="R7" s="16" t="inlineStr">
        <is>
          <t>Choix du chef</t>
        </is>
      </c>
      <c r="S7" s="17" t="inlineStr">
        <is>
          <t>Chef's choice</t>
        </is>
      </c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Pouding chomeur</t>
        </is>
      </c>
      <c r="G8" s="17" t="inlineStr">
        <is>
          <t>unemployed pudding</t>
        </is>
      </c>
      <c r="H8" s="16" t="inlineStr">
        <is>
          <t>Gâteau au chocolat  avec confiture   maison</t>
        </is>
      </c>
      <c r="I8" s="17" t="inlineStr">
        <is>
          <t>Chocolate cake with homemade jam</t>
        </is>
      </c>
      <c r="J8" s="16" t="inlineStr">
        <is>
          <t>Tarte au sucre</t>
        </is>
      </c>
      <c r="K8" s="17" t="inlineStr">
        <is>
          <t>Sugar Pie</t>
        </is>
      </c>
      <c r="L8" s="16" t="inlineStr">
        <is>
          <t>Gâteau aux carottes</t>
        </is>
      </c>
      <c r="M8" s="17" t="inlineStr">
        <is>
          <t>Carrot cake</t>
        </is>
      </c>
      <c r="N8" s="16" t="inlineStr">
        <is>
          <t>Tarte aux framboises</t>
        </is>
      </c>
      <c r="O8" s="17" t="inlineStr">
        <is>
          <t>Raspberry pie</t>
        </is>
      </c>
      <c r="P8" s="16" t="inlineStr">
        <is>
          <t>Gâteau aux épices</t>
        </is>
      </c>
      <c r="Q8" s="17" t="inlineStr">
        <is>
          <t>Cake For Spices</t>
        </is>
      </c>
      <c r="R8" s="16" t="inlineStr">
        <is>
          <t>Gâteau renversé aux baies</t>
        </is>
      </c>
      <c r="S8" s="17" t="inlineStr">
        <is>
          <t>Berry Upside-Down Cake</t>
        </is>
      </c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Soupe aux lentilles et cari</t>
        </is>
      </c>
      <c r="G9" s="17" t="inlineStr">
        <is>
          <t>Lentil and curry soup</t>
        </is>
      </c>
      <c r="H9" s="25" t="inlineStr">
        <is>
          <t>Crème de navet au miel</t>
        </is>
      </c>
      <c r="I9" s="17" t="inlineStr">
        <is>
          <t>turnip cream with honey</t>
        </is>
      </c>
      <c r="J9" s="25" t="inlineStr">
        <is>
          <t>Soupe au poulet et aux légumineuse</t>
        </is>
      </c>
      <c r="K9" s="17" t="inlineStr">
        <is>
          <t>Chicken and legume soup</t>
        </is>
      </c>
      <c r="L9" s="25" t="inlineStr">
        <is>
          <t>Potage dubari à l'ail roti (chou-fleur)</t>
        </is>
      </c>
      <c r="M9" s="26" t="inlineStr">
        <is>
          <t>Dubarry soup with roasted garlic (cauliflower)</t>
        </is>
      </c>
      <c r="N9" s="25" t="inlineStr">
        <is>
          <t>Soupe au  poulet et  au riz</t>
        </is>
      </c>
      <c r="O9" s="17" t="inlineStr">
        <is>
          <t>Chicken and rice soup</t>
        </is>
      </c>
      <c r="P9" s="25" t="inlineStr">
        <is>
          <t>Crème d'oignon caramélisé</t>
        </is>
      </c>
      <c r="Q9" s="17" t="inlineStr">
        <is>
          <t>Caramelized onion cream</t>
        </is>
      </c>
      <c r="R9" s="25" t="inlineStr">
        <is>
          <t>Creme de pomme de terres aux  fines herbes</t>
        </is>
      </c>
      <c r="S9" s="17" t="inlineStr">
        <is>
          <t>Potato cream with fine herbs</t>
        </is>
      </c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bettraves rouges et aux pommes</t>
        </is>
      </c>
      <c r="G10" s="17" t="inlineStr">
        <is>
          <t>Red beet and apple salad</t>
        </is>
      </c>
      <c r="H10" s="25" t="inlineStr">
        <is>
          <t>Salade verte vinaigrette balsamique</t>
        </is>
      </c>
      <c r="I10" s="17" t="inlineStr">
        <is>
          <t>Green salad with balsamic vinaigrette</t>
        </is>
      </c>
      <c r="J10" s="25" t="inlineStr">
        <is>
          <t>Assiette de terrine avec chutney de canneberges</t>
        </is>
      </c>
      <c r="K10" s="17" t="inlineStr">
        <is>
          <t>Plate of terrine with cranberry chutney</t>
        </is>
      </c>
      <c r="L10" s="25" t="inlineStr">
        <is>
          <t>Dumplings au porc frits servi avec sauce aux prunes</t>
        </is>
      </c>
      <c r="M10" s="17" t="inlineStr">
        <is>
          <t>Fried pork dumplings served with plum sauce</t>
        </is>
      </c>
      <c r="N10" s="25" t="inlineStr">
        <is>
          <t>Salade d'orzo fromage feta tomates et concombres</t>
        </is>
      </c>
      <c r="O10" s="17" t="inlineStr">
        <is>
          <t>Orzo salad with feta cheese, tomatoes and cucumbers</t>
        </is>
      </c>
      <c r="P10" s="25" t="inlineStr">
        <is>
          <t>Salade de cœurs d'artichauts et tomates cerises</t>
        </is>
      </c>
      <c r="Q10" s="17" t="inlineStr">
        <is>
          <t>Salad of artichoke hearts and cherry tomatoes</t>
        </is>
      </c>
      <c r="R10" s="25" t="inlineStr">
        <is>
          <t>Salade de mais haricot rouge au cumin et à la coriandre</t>
        </is>
      </c>
      <c r="S10" s="17" t="inlineStr">
        <is>
          <t>Red bean corn salad with cumin and coriander</t>
        </is>
      </c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Lasagne à la sauce bolognaise</t>
        </is>
      </c>
      <c r="G11" s="17" t="inlineStr">
        <is>
          <t>Lasagna with bolognese sauce</t>
        </is>
      </c>
      <c r="H11" s="25" t="inlineStr">
        <is>
          <t>Sauté de veau au citron et au romarin</t>
        </is>
      </c>
      <c r="I11" s="17" t="inlineStr">
        <is>
          <t>Sauteed veal with lemon and rosemary</t>
        </is>
      </c>
      <c r="J11" s="25" t="inlineStr">
        <is>
          <t>Bœuf aux poivrons et au paprika fumé</t>
        </is>
      </c>
      <c r="K11" s="17" t="inlineStr">
        <is>
          <t>Beef with peppers and smoked paprika</t>
        </is>
      </c>
      <c r="L11" s="25" t="inlineStr">
        <is>
          <t>Foie de veau sauce au oignon caramélisé au brandy</t>
        </is>
      </c>
      <c r="M11" s="26" t="inlineStr">
        <is>
          <t>Veal liver with brandy caramelized onion sauce</t>
        </is>
      </c>
      <c r="N11" s="25" t="inlineStr">
        <is>
          <t>Merlu sauce au citron et aux capres</t>
        </is>
      </c>
      <c r="O11" s="17" t="inlineStr">
        <is>
          <t>Hake with lemon and caper sauce</t>
        </is>
      </c>
      <c r="P11" s="25" t="inlineStr">
        <is>
          <t>Bavette de bœuf sauce au poivre maison</t>
        </is>
      </c>
      <c r="Q11" s="17" t="inlineStr">
        <is>
          <t>Flank steak with house pepper sauce</t>
        </is>
      </c>
      <c r="R11" s="25" t="inlineStr">
        <is>
          <t>Filet de truite sauce chimichuri</t>
        </is>
      </c>
      <c r="S11" s="17" t="inlineStr">
        <is>
          <t>Trout fillet with chimichurri sauce</t>
        </is>
      </c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Poitrine de poulet  sauce tomates origan et olives noires</t>
        </is>
      </c>
      <c r="G12" s="17" t="inlineStr">
        <is>
          <t>Chicken breast with tomato oregano sauce and black olives</t>
        </is>
      </c>
      <c r="H12" s="25" t="inlineStr">
        <is>
          <t>Filet de porc sauce au bleuet et au thym</t>
        </is>
      </c>
      <c r="I12" s="17" t="inlineStr">
        <is>
          <t>Pork tenderloin with blueberry and thyme sauce</t>
        </is>
      </c>
      <c r="J12" s="25" t="inlineStr">
        <is>
          <t>Poitrine de dinde sauce à l'orange et à la coriandre</t>
        </is>
      </c>
      <c r="K12" s="17" t="inlineStr">
        <is>
          <t>Turkey breast with orange and coriander sauce</t>
        </is>
      </c>
      <c r="L12" s="25" t="inlineStr">
        <is>
          <t>Fettucine sauce aux fruit de mer</t>
        </is>
      </c>
      <c r="M12" s="26" t="inlineStr">
        <is>
          <t>Fettuccine with seafood sauce</t>
        </is>
      </c>
      <c r="N12" s="25" t="inlineStr">
        <is>
          <t>Roti de porc à la moutarde a l'ancienne et au vin blanc</t>
        </is>
      </c>
      <c r="O12" s="17" t="inlineStr">
        <is>
          <t>Roast pork with old-fashioned mustard and white wine</t>
        </is>
      </c>
      <c r="P12" s="25" t="inlineStr">
        <is>
          <t>Sauté de crevette a la lime et à l'ail</t>
        </is>
      </c>
      <c r="Q12" s="17" t="inlineStr">
        <is>
          <t>Lime and Garlic Shrimp Stir Fry</t>
        </is>
      </c>
      <c r="R12" s="25" t="inlineStr">
        <is>
          <t>Vol au vent au poulet</t>
        </is>
      </c>
      <c r="S12" s="17" t="inlineStr">
        <is>
          <t>Vol au vent with chicken</t>
        </is>
      </c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Pouding chomeur</t>
        </is>
      </c>
      <c r="G13" s="17" t="inlineStr">
        <is>
          <t>unemployed pudding</t>
        </is>
      </c>
      <c r="H13" s="37" t="inlineStr">
        <is>
          <t>Gâteau au chocolat  avec confiture   maison</t>
        </is>
      </c>
      <c r="I13" s="38" t="inlineStr">
        <is>
          <t>Chocolate cake with homemade jam</t>
        </is>
      </c>
      <c r="J13" s="37" t="inlineStr">
        <is>
          <t>Tarte au sucre</t>
        </is>
      </c>
      <c r="K13" s="17" t="inlineStr">
        <is>
          <t>Sugar Pie</t>
        </is>
      </c>
      <c r="L13" s="37" t="inlineStr">
        <is>
          <t>Gâteau aux carottes</t>
        </is>
      </c>
      <c r="M13" s="17" t="inlineStr">
        <is>
          <t>Carrot cake</t>
        </is>
      </c>
      <c r="N13" s="37" t="inlineStr">
        <is>
          <t>Tarte aux framboises</t>
        </is>
      </c>
      <c r="O13" s="17" t="inlineStr">
        <is>
          <t>Raspberry pie</t>
        </is>
      </c>
      <c r="P13" s="37" t="inlineStr">
        <is>
          <t>Gâteau aux épices</t>
        </is>
      </c>
      <c r="Q13" s="17" t="inlineStr">
        <is>
          <t>Cake For Spices</t>
        </is>
      </c>
      <c r="R13" s="37" t="inlineStr">
        <is>
          <t>Gâteau renversé aux baies</t>
        </is>
      </c>
      <c r="S13" s="17" t="inlineStr">
        <is>
          <t>Berry Upside-Down Cake</t>
        </is>
      </c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Sarah Ouellette</dc:creator>
  <dcterms:created xmlns:dcterms="http://purl.org/dc/terms/" xmlns:xsi="http://www.w3.org/2001/XMLSchema-instance" xsi:type="dcterms:W3CDTF">2018-12-17T21:27:18Z</dcterms:created>
  <dcterms:modified xmlns:dcterms="http://purl.org/dc/terms/" xmlns:xsi="http://www.w3.org/2001/XMLSchema-instance" xsi:type="dcterms:W3CDTF">2022-09-03T20:32:40Z</dcterms:modified>
  <cp:lastModifiedBy>Laurent-Philippe Roy-Lemaire</cp:lastModifiedBy>
  <cp:lastPrinted>2021-06-02T00:02:47Z</cp:lastPrinted>
</cp:coreProperties>
</file>