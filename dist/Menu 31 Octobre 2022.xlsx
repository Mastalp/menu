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465" yWindow="5535" windowWidth="28800" windowHeight="15435" tabRatio="600" firstSheet="0" activeTab="0" autoFilterDateGrouping="1"/>
  </bookViews>
  <sheets>
    <sheet xmlns:r="http://schemas.openxmlformats.org/officeDocument/2006/relationships" name="menu_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&quot;-&quot;mm&quot;-&quot;yy"/>
    <numFmt numFmtId="165" formatCode="dddd&quot;  &quot;d&quot; &quot;mmm"/>
  </numFmts>
  <fonts count="8">
    <font>
      <name val="Arial"/>
      <color indexed="8"/>
      <sz val="10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b val="1"/>
      <sz val="16"/>
    </font>
    <font>
      <name val="Arial"/>
      <family val="2"/>
      <b val="1"/>
      <color theme="0"/>
      <sz val="14"/>
    </font>
    <font>
      <name val="Arial"/>
      <family val="2"/>
      <color theme="0"/>
      <sz val="14"/>
    </font>
    <font>
      <name val="Arial"/>
      <family val="2"/>
      <b val="1"/>
      <color theme="0"/>
      <sz val="16"/>
    </font>
    <font>
      <name val="Arial"/>
      <family val="2"/>
      <color theme="0"/>
      <sz val="16"/>
    </font>
  </fonts>
  <fills count="11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11"/>
      </right>
      <top style="medium">
        <color indexed="64"/>
      </top>
      <bottom/>
      <diagonal/>
    </border>
    <border>
      <left style="thin">
        <color indexed="11"/>
      </left>
      <right style="thin">
        <color indexed="11"/>
      </right>
      <top style="medium">
        <color indexed="64"/>
      </top>
      <bottom/>
      <diagonal/>
    </border>
    <border>
      <left style="thin">
        <color indexed="1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4" fillId="6" borderId="1" applyAlignment="1" pivotButton="0" quotePrefix="0" xfId="0">
      <alignment horizontal="center" vertical="center" wrapText="1"/>
    </xf>
    <xf numFmtId="164" fontId="1" fillId="7" borderId="3" applyAlignment="1" pivotButton="0" quotePrefix="0" xfId="0">
      <alignment horizontal="center" vertical="center" wrapText="1"/>
    </xf>
    <xf numFmtId="49" fontId="1" fillId="7" borderId="6" applyAlignment="1" pivotButton="0" quotePrefix="0" xfId="0">
      <alignment horizontal="center" vertical="center" wrapText="1"/>
    </xf>
    <xf numFmtId="49" fontId="4" fillId="6" borderId="8" applyAlignment="1" pivotButton="0" quotePrefix="0" xfId="0">
      <alignment horizontal="center" vertical="center" wrapText="1"/>
    </xf>
    <xf numFmtId="49" fontId="4" fillId="6" borderId="9" applyAlignment="1" pivotButton="0" quotePrefix="0" xfId="0">
      <alignment horizontal="center" vertical="center"/>
    </xf>
    <xf numFmtId="49" fontId="4" fillId="6" borderId="1" applyAlignment="1" pivotButton="0" quotePrefix="0" xfId="0">
      <alignment horizontal="center" vertical="center"/>
    </xf>
    <xf numFmtId="49" fontId="4" fillId="6" borderId="13" applyAlignment="1" pivotButton="0" quotePrefix="0" xfId="0">
      <alignment horizontal="center" vertical="center" wrapText="1"/>
    </xf>
    <xf numFmtId="49" fontId="4" fillId="6" borderId="9" applyAlignment="1" pivotButton="0" quotePrefix="0" xfId="0">
      <alignment horizontal="center" vertical="center" wrapText="1"/>
    </xf>
    <xf numFmtId="49" fontId="6" fillId="4" borderId="9" applyAlignment="1" applyProtection="1" pivotButton="0" quotePrefix="0" xfId="0">
      <alignment horizontal="center" vertical="center"/>
      <protection locked="0" hidden="0"/>
    </xf>
    <xf numFmtId="49" fontId="6" fillId="4" borderId="1" applyAlignment="1" applyProtection="1" pivotButton="0" quotePrefix="0" xfId="0">
      <alignment horizontal="center" vertical="center"/>
      <protection locked="0" hidden="0"/>
    </xf>
    <xf numFmtId="49" fontId="3" fillId="3" borderId="1" applyAlignment="1" applyProtection="1" pivotButton="0" quotePrefix="0" xfId="0">
      <alignment horizontal="center" vertical="center" wrapText="1"/>
      <protection locked="0" hidden="0"/>
    </xf>
    <xf numFmtId="49" fontId="3" fillId="3" borderId="13" applyAlignment="1" applyProtection="1" pivotButton="0" quotePrefix="0" xfId="0">
      <alignment horizontal="center" vertical="center" wrapText="1"/>
      <protection locked="0" hidden="0"/>
    </xf>
    <xf numFmtId="49" fontId="2" fillId="10" borderId="9" applyAlignment="1" applyProtection="1" pivotButton="0" quotePrefix="0" xfId="0">
      <alignment vertical="center" wrapText="1"/>
      <protection locked="0" hidden="0"/>
    </xf>
    <xf numFmtId="49" fontId="2" fillId="6" borderId="8" applyAlignment="1" applyProtection="1" pivotButton="0" quotePrefix="0" xfId="0">
      <alignment vertical="center" wrapText="1"/>
      <protection locked="0" hidden="0"/>
    </xf>
    <xf numFmtId="0" fontId="7" fillId="4" borderId="9" applyAlignment="1" applyProtection="1" pivotButton="0" quotePrefix="0" xfId="0">
      <alignment horizontal="center" vertical="center"/>
      <protection locked="0" hidden="0"/>
    </xf>
    <xf numFmtId="0" fontId="7" fillId="4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49" fontId="6" fillId="9" borderId="9" applyAlignment="1" applyProtection="1" pivotButton="0" quotePrefix="0" xfId="0">
      <alignment horizontal="center" vertical="center"/>
      <protection locked="0" hidden="0"/>
    </xf>
    <xf numFmtId="49" fontId="6" fillId="9" borderId="1" applyAlignment="1" applyProtection="1" pivotButton="0" quotePrefix="0" xfId="0">
      <alignment horizontal="center" vertical="center"/>
      <protection locked="0" hidden="0"/>
    </xf>
    <xf numFmtId="49" fontId="3" fillId="5" borderId="1" applyAlignment="1" applyProtection="1" pivotButton="0" quotePrefix="0" xfId="0">
      <alignment horizontal="center" vertical="center" wrapText="1"/>
      <protection locked="0" hidden="0"/>
    </xf>
    <xf numFmtId="49" fontId="3" fillId="5" borderId="13" applyAlignment="1" applyProtection="1" pivotButton="0" quotePrefix="0" xfId="0">
      <alignment horizontal="center" vertical="center" wrapText="1"/>
      <protection locked="0" hidden="0"/>
    </xf>
    <xf numFmtId="49" fontId="2" fillId="2" borderId="9" applyAlignment="1" applyProtection="1" pivotButton="0" quotePrefix="0" xfId="0">
      <alignment vertical="center" wrapText="1"/>
      <protection locked="0" hidden="0"/>
    </xf>
    <xf numFmtId="0" fontId="2" fillId="6" borderId="8" applyAlignment="1" applyProtection="1" pivotButton="0" quotePrefix="0" xfId="0">
      <alignment vertical="center" wrapText="1"/>
      <protection locked="0" hidden="0"/>
    </xf>
    <xf numFmtId="0" fontId="7" fillId="9" borderId="9" applyAlignment="1" applyProtection="1" pivotButton="0" quotePrefix="0" xfId="0">
      <alignment horizontal="center" vertical="center"/>
      <protection locked="0" hidden="0"/>
    </xf>
    <xf numFmtId="0" fontId="7" fillId="9" borderId="1" applyAlignment="1" applyProtection="1" pivotButton="0" quotePrefix="0" xfId="0">
      <alignment horizontal="center" vertical="center"/>
      <protection locked="0" hidden="0"/>
    </xf>
    <xf numFmtId="0" fontId="3" fillId="5" borderId="1" applyAlignment="1" applyProtection="1" pivotButton="0" quotePrefix="0" xfId="0">
      <alignment horizontal="center" vertical="center"/>
      <protection locked="0" hidden="0"/>
    </xf>
    <xf numFmtId="0" fontId="2" fillId="9" borderId="9" applyAlignment="1" applyProtection="1" pivotButton="0" quotePrefix="0" xfId="0">
      <alignment horizontal="center" vertical="center"/>
      <protection locked="0" hidden="0"/>
    </xf>
    <xf numFmtId="0" fontId="2" fillId="9" borderId="1" applyAlignment="1" applyProtection="1" pivotButton="0" quotePrefix="0" xfId="0">
      <alignment horizontal="center" vertical="center"/>
      <protection locked="0" hidden="0"/>
    </xf>
    <xf numFmtId="0" fontId="2" fillId="9" borderId="10" applyAlignment="1" applyProtection="1" pivotButton="0" quotePrefix="0" xfId="0">
      <alignment horizontal="center" vertical="center"/>
      <protection locked="0" hidden="0"/>
    </xf>
    <xf numFmtId="0" fontId="2" fillId="9" borderId="11" applyAlignment="1" applyProtection="1" pivotButton="0" quotePrefix="0" xfId="0">
      <alignment horizontal="center" vertical="center"/>
      <protection locked="0" hidden="0"/>
    </xf>
    <xf numFmtId="0" fontId="3" fillId="5" borderId="11" applyAlignment="1" applyProtection="1" pivotButton="0" quotePrefix="0" xfId="0">
      <alignment horizontal="center" vertical="center"/>
      <protection locked="0" hidden="0"/>
    </xf>
    <xf numFmtId="49" fontId="3" fillId="5" borderId="11" applyAlignment="1" applyProtection="1" pivotButton="0" quotePrefix="0" xfId="0">
      <alignment horizontal="center" vertical="center" wrapText="1"/>
      <protection locked="0" hidden="0"/>
    </xf>
    <xf numFmtId="49" fontId="3" fillId="5" borderId="14" applyAlignment="1" applyProtection="1" pivotButton="0" quotePrefix="0" xfId="0">
      <alignment horizontal="center" vertical="center" wrapText="1"/>
      <protection locked="0" hidden="0"/>
    </xf>
    <xf numFmtId="49" fontId="2" fillId="2" borderId="10" applyAlignment="1" applyProtection="1" pivotButton="0" quotePrefix="0" xfId="0">
      <alignment vertical="center" wrapText="1"/>
      <protection locked="0" hidden="0"/>
    </xf>
    <xf numFmtId="49" fontId="2" fillId="6" borderId="12" applyAlignment="1" applyProtection="1" pivotButton="0" quotePrefix="0" xfId="0">
      <alignment vertical="center" wrapText="1"/>
      <protection locked="0" hidden="0"/>
    </xf>
    <xf numFmtId="49" fontId="1" fillId="7" borderId="3" applyAlignment="1" pivotButton="0" quotePrefix="0" xfId="0">
      <alignment horizontal="center" vertical="center" wrapText="1"/>
    </xf>
    <xf numFmtId="0" fontId="2" fillId="7" borderId="4" applyAlignment="1" pivotButton="0" quotePrefix="0" xfId="0">
      <alignment vertical="center"/>
    </xf>
    <xf numFmtId="0" fontId="2" fillId="7" borderId="5" applyAlignment="1" pivotButton="0" quotePrefix="0" xfId="0">
      <alignment vertical="center"/>
    </xf>
    <xf numFmtId="165" fontId="6" fillId="6" borderId="15" applyAlignment="1" pivotButton="0" quotePrefix="0" xfId="0">
      <alignment horizontal="center" vertical="center" wrapText="1"/>
    </xf>
    <xf numFmtId="0" fontId="7" fillId="6" borderId="16" applyAlignment="1" pivotButton="0" quotePrefix="0" xfId="0">
      <alignment vertical="center"/>
    </xf>
    <xf numFmtId="165" fontId="6" fillId="6" borderId="16" applyAlignment="1" pivotButton="0" quotePrefix="0" xfId="0">
      <alignment horizontal="center" vertical="center" wrapText="1"/>
    </xf>
    <xf numFmtId="49" fontId="4" fillId="7" borderId="7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49" fontId="4" fillId="6" borderId="1" applyAlignment="1" pivotButton="0" quotePrefix="0" xfId="0">
      <alignment horizontal="center" vertical="center"/>
    </xf>
    <xf numFmtId="0" fontId="5" fillId="6" borderId="13" applyAlignment="1" pivotButton="0" quotePrefix="0" xfId="0">
      <alignment horizontal="center" vertical="center"/>
    </xf>
    <xf numFmtId="14" fontId="6" fillId="8" borderId="2" applyAlignment="1" applyProtection="1" pivotButton="0" quotePrefix="0" xfId="0">
      <alignment horizontal="center" vertical="center" wrapText="1"/>
      <protection locked="0" hidden="0"/>
    </xf>
    <xf numFmtId="49" fontId="1" fillId="7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20" pivotButton="0" quotePrefix="0" xfId="0"/>
    <xf numFmtId="0" fontId="0" fillId="0" borderId="23" pivotButton="0" quotePrefix="0" xfId="0"/>
    <xf numFmtId="0" fontId="0" fillId="0" borderId="1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38761D"/>
      <rgbColor rgb="FFAAAAAA"/>
      <rgbColor rgb="FF274E13"/>
      <rgbColor rgb="FF20124D"/>
      <rgbColor rgb="FF351C75"/>
      <rgbColor rgb="FF45818E"/>
      <rgbColor rgb="FF76A5AF"/>
      <rgbColor rgb="FFD0E0E3"/>
      <rgbColor rgb="FF6AA84F"/>
      <rgbColor rgb="FF93C47D"/>
      <rgbColor rgb="FFD9EAD3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V13"/>
  <sheetViews>
    <sheetView showGridLines="0" tabSelected="1" zoomScale="60" zoomScaleNormal="60" workbookViewId="0">
      <selection activeCell="A1" sqref="A1"/>
    </sheetView>
  </sheetViews>
  <sheetFormatPr baseColWidth="8" defaultColWidth="14.42578125" defaultRowHeight="15.75" customHeight="1"/>
  <cols>
    <col width="18" customWidth="1" style="1" min="1" max="2"/>
    <col width="19.42578125" customWidth="1" style="1" min="3" max="3"/>
    <col width="20.42578125" customWidth="1" style="1" min="4" max="5"/>
    <col width="20.7109375" customWidth="1" style="1" min="6" max="19"/>
    <col width="14.42578125" customWidth="1" style="1" min="20" max="256"/>
  </cols>
  <sheetData>
    <row r="1" ht="50.1" customFormat="1" customHeight="1" s="3" thickBot="1">
      <c r="A1" s="49" t="n">
        <v>44865</v>
      </c>
      <c r="B1" s="5" t="n"/>
      <c r="C1" s="50" t="n"/>
      <c r="D1" s="51" t="n"/>
      <c r="E1" s="51" t="n"/>
      <c r="F1" s="51" t="n"/>
      <c r="G1" s="51" t="n"/>
      <c r="H1" s="51" t="n"/>
      <c r="I1" s="51" t="n"/>
      <c r="J1" s="51" t="n"/>
      <c r="K1" s="51" t="n"/>
      <c r="L1" s="51" t="n"/>
      <c r="M1" s="51" t="n"/>
      <c r="N1" s="51" t="n"/>
      <c r="O1" s="51" t="n"/>
      <c r="P1" s="51" t="n"/>
      <c r="Q1" s="51" t="n"/>
      <c r="R1" s="52" t="n"/>
      <c r="S1" s="6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3" t="n"/>
      <c r="EW1" s="3" t="n"/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3" t="n"/>
      <c r="GU1" s="3" t="n"/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3" t="n"/>
      <c r="IS1" s="3" t="n"/>
      <c r="IT1" s="3" t="n"/>
      <c r="IU1" s="3" t="n"/>
      <c r="IV1" s="3" t="n"/>
    </row>
    <row r="2" ht="30" customHeight="1" s="1">
      <c r="A2" s="45" t="n"/>
      <c r="B2" s="53" t="n"/>
      <c r="C2" s="4" t="inlineStr">
        <is>
          <t>HEURES</t>
        </is>
      </c>
      <c r="D2" s="47" t="inlineStr">
        <is>
          <t>SERVICES</t>
        </is>
      </c>
      <c r="E2" s="54" t="n"/>
      <c r="F2" s="42">
        <f>$A$1+COLUMN()-6</f>
        <v/>
      </c>
      <c r="G2" s="55" t="n"/>
      <c r="H2" s="42">
        <f>$A$1+COLUMN()-7</f>
        <v/>
      </c>
      <c r="I2" s="55" t="n"/>
      <c r="J2" s="42">
        <f>$A$1+COLUMN()-8</f>
        <v/>
      </c>
      <c r="K2" s="55" t="n"/>
      <c r="L2" s="42">
        <f>$A$1+COLUMN()-9</f>
        <v/>
      </c>
      <c r="M2" s="55" t="n"/>
      <c r="N2" s="42">
        <f>$A$1+COLUMN()-10</f>
        <v/>
      </c>
      <c r="O2" s="55" t="n"/>
      <c r="P2" s="42">
        <f>$A$1+COLUMN()-11</f>
        <v/>
      </c>
      <c r="Q2" s="55" t="n"/>
      <c r="R2" s="42">
        <f>$A$1+COLUMN()-12</f>
        <v/>
      </c>
      <c r="S2" s="55" t="n"/>
    </row>
    <row r="3" ht="30" customHeight="1" s="1">
      <c r="A3" s="8" t="inlineStr">
        <is>
          <t>FR</t>
        </is>
      </c>
      <c r="B3" s="47" t="inlineStr">
        <is>
          <t>EN</t>
        </is>
      </c>
      <c r="C3" s="4" t="n"/>
      <c r="D3" s="4" t="inlineStr">
        <is>
          <t>EN</t>
        </is>
      </c>
      <c r="E3" s="10" t="inlineStr">
        <is>
          <t>FR</t>
        </is>
      </c>
      <c r="F3" s="11" t="inlineStr">
        <is>
          <t>FR</t>
        </is>
      </c>
      <c r="G3" s="7" t="inlineStr">
        <is>
          <t>EN</t>
        </is>
      </c>
      <c r="H3" s="11" t="inlineStr">
        <is>
          <t>FR</t>
        </is>
      </c>
      <c r="I3" s="7" t="inlineStr">
        <is>
          <t>EN</t>
        </is>
      </c>
      <c r="J3" s="11" t="inlineStr">
        <is>
          <t>FR</t>
        </is>
      </c>
      <c r="K3" s="7" t="inlineStr">
        <is>
          <t>EN</t>
        </is>
      </c>
      <c r="L3" s="11" t="inlineStr">
        <is>
          <t>FR</t>
        </is>
      </c>
      <c r="M3" s="7" t="inlineStr">
        <is>
          <t>EN</t>
        </is>
      </c>
      <c r="N3" s="11" t="inlineStr">
        <is>
          <t>FR</t>
        </is>
      </c>
      <c r="O3" s="7" t="inlineStr">
        <is>
          <t>EN</t>
        </is>
      </c>
      <c r="P3" s="11" t="inlineStr">
        <is>
          <t>FR</t>
        </is>
      </c>
      <c r="Q3" s="7" t="inlineStr">
        <is>
          <t>EN</t>
        </is>
      </c>
      <c r="R3" s="11" t="inlineStr">
        <is>
          <t>FR</t>
        </is>
      </c>
      <c r="S3" s="7" t="inlineStr">
        <is>
          <t>EN</t>
        </is>
      </c>
    </row>
    <row r="4" ht="65.09999999999999" customHeight="1" s="1">
      <c r="A4" s="12" t="inlineStr">
        <is>
          <t xml:space="preserve">DÎNER </t>
        </is>
      </c>
      <c r="B4" s="13" t="inlineStr">
        <is>
          <t>LUNCH</t>
        </is>
      </c>
      <c r="C4" s="14" t="inlineStr">
        <is>
          <t>11:30-13:00</t>
        </is>
      </c>
      <c r="D4" s="14" t="inlineStr">
        <is>
          <t>Appetizer</t>
        </is>
      </c>
      <c r="E4" s="15" t="inlineStr">
        <is>
          <t>Entrée</t>
        </is>
      </c>
      <c r="F4" s="16" t="inlineStr">
        <is>
          <t>Crème de légumes</t>
        </is>
      </c>
      <c r="G4" s="17" t="inlineStr">
        <is>
          <t>vegetable cream</t>
        </is>
      </c>
      <c r="H4" s="16" t="inlineStr">
        <is>
          <t>Soupe au chou vert et aux tomates</t>
        </is>
      </c>
      <c r="I4" s="17" t="inlineStr">
        <is>
          <t>Green cabbage and tomato soup</t>
        </is>
      </c>
      <c r="J4" s="16" t="inlineStr">
        <is>
          <t>Crème d'oignon parfumé au vinaigre balsamique</t>
        </is>
      </c>
      <c r="K4" s="17" t="inlineStr">
        <is>
          <t>Onion cream flavored with balsamic vinegar</t>
        </is>
      </c>
      <c r="L4" s="16" t="inlineStr">
        <is>
          <t>Soupe au maïs haricots rouges et tomates</t>
        </is>
      </c>
      <c r="M4" s="17" t="inlineStr">
        <is>
          <t>Red bean and tomato corn soup</t>
        </is>
      </c>
      <c r="N4" s="16" t="inlineStr">
        <is>
          <t>Potage parmentier</t>
        </is>
      </c>
      <c r="O4" s="17" t="inlineStr">
        <is>
          <t>Shepherd's pie soup</t>
        </is>
      </c>
      <c r="P4" s="16" t="inlineStr">
        <is>
          <t>Soupe aux legumes et orzo</t>
        </is>
      </c>
      <c r="Q4" s="17" t="inlineStr">
        <is>
          <t>Vegetable soup and orzo</t>
        </is>
      </c>
      <c r="R4" s="16" t="inlineStr">
        <is>
          <t>Soupe au  poulet et nouilles</t>
        </is>
      </c>
      <c r="S4" s="17" t="inlineStr">
        <is>
          <t>Chicken noodle soup</t>
        </is>
      </c>
    </row>
    <row r="5" ht="65.09999999999999" customHeight="1" s="1">
      <c r="A5" s="18" t="n"/>
      <c r="B5" s="19" t="n"/>
      <c r="C5" s="20" t="n"/>
      <c r="D5" s="14" t="inlineStr">
        <is>
          <t>Appetizer</t>
        </is>
      </c>
      <c r="E5" s="15" t="inlineStr">
        <is>
          <t>Entrée</t>
        </is>
      </c>
      <c r="F5" s="16" t="inlineStr">
        <is>
          <t>Salade de cœur de palmier, olive noire et zeste de citron</t>
        </is>
      </c>
      <c r="G5" s="17" t="inlineStr">
        <is>
          <t>Heart of palm, black olive and lemon zest salad</t>
        </is>
      </c>
      <c r="H5" s="16" t="inlineStr">
        <is>
          <t>Salade d'épinards, pommes et noix de grenoble</t>
        </is>
      </c>
      <c r="I5" s="17" t="inlineStr">
        <is>
          <t>Spinach, apple and walnut salad</t>
        </is>
      </c>
      <c r="J5" s="16" t="inlineStr">
        <is>
          <t>Salade de pois chiche et de concombre</t>
        </is>
      </c>
      <c r="K5" s="17" t="inlineStr">
        <is>
          <t>Chickpea and cucumber salad</t>
        </is>
      </c>
      <c r="L5" s="16" t="inlineStr">
        <is>
          <t>Salade de pommes de terres grelots</t>
        </is>
      </c>
      <c r="M5" s="17" t="inlineStr">
        <is>
          <t>Baby potato salad</t>
        </is>
      </c>
      <c r="N5" s="16" t="inlineStr">
        <is>
          <t>Salade césar avec croutons à l'ail et émincé de bacon</t>
        </is>
      </c>
      <c r="O5" s="17" t="inlineStr">
        <is>
          <t>Caesar salad with garlic croutons and shaved bacon</t>
        </is>
      </c>
      <c r="P5" s="16" t="inlineStr">
        <is>
          <t>Salade verte vinaigrette italienne</t>
        </is>
      </c>
      <c r="Q5" s="17" t="inlineStr">
        <is>
          <t>Green salad with Italian vinaigrette</t>
        </is>
      </c>
      <c r="R5" s="16" t="inlineStr">
        <is>
          <t>Salade de quinoa aux tomates</t>
        </is>
      </c>
      <c r="S5" s="17" t="inlineStr">
        <is>
          <t>Quinoa salad with tomatoes</t>
        </is>
      </c>
    </row>
    <row r="6" ht="65.09999999999999" customHeight="1" s="1">
      <c r="A6" s="18" t="n"/>
      <c r="B6" s="19" t="n"/>
      <c r="C6" s="20" t="n"/>
      <c r="D6" s="14" t="inlineStr">
        <is>
          <t>Main course</t>
        </is>
      </c>
      <c r="E6" s="15" t="inlineStr">
        <is>
          <t>Plat principal</t>
        </is>
      </c>
      <c r="F6" s="16" t="inlineStr">
        <is>
          <t>Salade repas d'épinards au poulet grillé</t>
        </is>
      </c>
      <c r="G6" s="17" t="inlineStr">
        <is>
          <t>Grilled Chicken Spinach Meal Salad</t>
        </is>
      </c>
      <c r="H6" s="16" t="inlineStr">
        <is>
          <t>Croissant au thon effiloché, vinaigrette italienne</t>
        </is>
      </c>
      <c r="I6" s="17" t="inlineStr">
        <is>
          <t>Pulled tuna croissant, Italian vinaigrette</t>
        </is>
      </c>
      <c r="J6" s="16" t="inlineStr">
        <is>
          <t>Salade repas au goberge</t>
        </is>
      </c>
      <c r="K6" s="17" t="inlineStr">
        <is>
          <t>Crabstick Meal Salad</t>
        </is>
      </c>
      <c r="L6" s="16" t="inlineStr">
        <is>
          <t>Sandwich à la viande fumée</t>
        </is>
      </c>
      <c r="M6" s="17" t="inlineStr">
        <is>
          <t>Smoked meat sandwich</t>
        </is>
      </c>
      <c r="N6" s="16" t="inlineStr">
        <is>
          <t>Hamburger de dinde</t>
        </is>
      </c>
      <c r="O6" s="17" t="inlineStr">
        <is>
          <t>Hamburger is also in religion</t>
        </is>
      </c>
      <c r="P6" s="16" t="inlineStr">
        <is>
          <t>Linguine sauce au vin blanc et aux crevettes nordiques</t>
        </is>
      </c>
      <c r="Q6" s="17" t="inlineStr">
        <is>
          <t>Linguine with white wine and Nordic shrimp sauce</t>
        </is>
      </c>
      <c r="R6" s="16" t="inlineStr">
        <is>
          <t>Déjeuner gourmand</t>
        </is>
      </c>
      <c r="S6" s="17" t="inlineStr">
        <is>
          <t>Gourmet lunch</t>
        </is>
      </c>
    </row>
    <row r="7" ht="65.09999999999999" customHeight="1" s="1">
      <c r="A7" s="18" t="n"/>
      <c r="B7" s="19" t="n"/>
      <c r="C7" s="20" t="n"/>
      <c r="D7" s="14" t="inlineStr">
        <is>
          <t>Main course</t>
        </is>
      </c>
      <c r="E7" s="15" t="inlineStr">
        <is>
          <t>Plat principal</t>
        </is>
      </c>
      <c r="F7" s="16" t="inlineStr">
        <is>
          <t>Filet de tilapia avec salsa de tomates aux fines herbes du jardin</t>
        </is>
      </c>
      <c r="G7" s="17" t="inlineStr">
        <is>
          <t>Tilapia fillet with garden herb tomato salsa</t>
        </is>
      </c>
      <c r="H7" s="16" t="inlineStr">
        <is>
          <t>Fritatta aux courgettes et aux oignons rouges</t>
        </is>
      </c>
      <c r="I7" s="17" t="inlineStr">
        <is>
          <t>Zucchini and Red Onion Frittata</t>
        </is>
      </c>
      <c r="J7" s="16" t="inlineStr">
        <is>
          <t>Haut de cuisse de poulet  sauce au gingembre et au sesame</t>
        </is>
      </c>
      <c r="K7" s="17" t="inlineStr">
        <is>
          <t>Chicken Thigh with Ginger Sesame Sauce</t>
        </is>
      </c>
      <c r="L7" s="16" t="inlineStr">
        <is>
          <t>Rotini sauce crémeuse au pesto de basilic</t>
        </is>
      </c>
      <c r="M7" s="17" t="inlineStr">
        <is>
          <t>Rotini with creamy basil pesto sauce</t>
        </is>
      </c>
      <c r="N7" s="16" t="inlineStr">
        <is>
          <t>Assiette de saucisse au cerf et aux 5 poivres</t>
        </is>
      </c>
      <c r="O7" s="17" t="inlineStr">
        <is>
          <t>Plate of sausage with deer and 5 peppers</t>
        </is>
      </c>
      <c r="P7" s="16" t="inlineStr">
        <is>
          <t>Quiche au épinard et au fromage de chèvre</t>
        </is>
      </c>
      <c r="Q7" s="17" t="inlineStr">
        <is>
          <t>Spinach and Goat Cheese Quiche</t>
        </is>
      </c>
      <c r="R7" s="16" t="inlineStr">
        <is>
          <t>Choix du chef</t>
        </is>
      </c>
      <c r="S7" s="17" t="inlineStr">
        <is>
          <t>Chef's choice</t>
        </is>
      </c>
    </row>
    <row r="8" ht="65.09999999999999" customHeight="1" s="1">
      <c r="A8" s="18" t="n"/>
      <c r="B8" s="19" t="n"/>
      <c r="C8" s="20" t="n"/>
      <c r="D8" s="14" t="inlineStr">
        <is>
          <t>Dessert</t>
        </is>
      </c>
      <c r="E8" s="15" t="inlineStr">
        <is>
          <t>Dessert</t>
        </is>
      </c>
      <c r="F8" s="16" t="inlineStr">
        <is>
          <t>Carré aux dattes</t>
        </is>
      </c>
      <c r="G8" s="17" t="inlineStr">
        <is>
          <t>Date Square</t>
        </is>
      </c>
      <c r="H8" s="16" t="inlineStr">
        <is>
          <t>Gâteau velour rouge</t>
        </is>
      </c>
      <c r="I8" s="17" t="inlineStr">
        <is>
          <t>Red velvet cake</t>
        </is>
      </c>
      <c r="J8" s="16" t="inlineStr">
        <is>
          <t>Tarte fraise rubarbe</t>
        </is>
      </c>
      <c r="K8" s="17" t="inlineStr">
        <is>
          <t>Strawberry rhubarb tart</t>
        </is>
      </c>
      <c r="L8" s="16" t="inlineStr">
        <is>
          <t>Choux à la crème</t>
        </is>
      </c>
      <c r="M8" s="17" t="inlineStr">
        <is>
          <t>Cream puffs</t>
        </is>
      </c>
      <c r="N8" s="16" t="inlineStr">
        <is>
          <t>Gateau au café</t>
        </is>
      </c>
      <c r="O8" s="17" t="inlineStr">
        <is>
          <t>Coffee cake</t>
        </is>
      </c>
      <c r="P8" s="16" t="inlineStr">
        <is>
          <t>Renversé aux ananas</t>
        </is>
      </c>
      <c r="Q8" s="17" t="inlineStr">
        <is>
          <t>Pineapple spilled</t>
        </is>
      </c>
      <c r="R8" s="16" t="inlineStr">
        <is>
          <t>Tarte aux raisins</t>
        </is>
      </c>
      <c r="S8" s="17" t="inlineStr">
        <is>
          <t>Raisin Pie</t>
        </is>
      </c>
    </row>
    <row r="9" ht="65.09999999999999" customHeight="1" s="1">
      <c r="A9" s="21" t="inlineStr">
        <is>
          <t>SOUPER</t>
        </is>
      </c>
      <c r="B9" s="22" t="inlineStr">
        <is>
          <t>SUPPER</t>
        </is>
      </c>
      <c r="C9" s="23" t="inlineStr">
        <is>
          <t>17:00-19:00</t>
        </is>
      </c>
      <c r="D9" s="23" t="inlineStr">
        <is>
          <t>Appetizer</t>
        </is>
      </c>
      <c r="E9" s="24" t="inlineStr">
        <is>
          <t>Entrée</t>
        </is>
      </c>
      <c r="F9" s="25" t="inlineStr">
        <is>
          <t>Soupe au poulet et à l'orge</t>
        </is>
      </c>
      <c r="G9" s="17" t="inlineStr">
        <is>
          <t>Chicken and barley soup</t>
        </is>
      </c>
      <c r="H9" s="25" t="inlineStr">
        <is>
          <t>Potage dubari à l'ail rôti( crème de chou fleur )</t>
        </is>
      </c>
      <c r="I9" s="17" t="inlineStr">
        <is>
          <t>Dubarry soup with roasted garlic (cauliflower cream)</t>
        </is>
      </c>
      <c r="J9" s="25" t="inlineStr">
        <is>
          <t>Potage crécy au gingembre(creme de carottes)</t>
        </is>
      </c>
      <c r="K9" s="17" t="inlineStr">
        <is>
          <t>Crécy ginger soup (carrot cream)</t>
        </is>
      </c>
      <c r="L9" s="25" t="inlineStr">
        <is>
          <t>Crème de navet au miel</t>
        </is>
      </c>
      <c r="M9" s="26" t="inlineStr">
        <is>
          <t>turnip cream with honey</t>
        </is>
      </c>
      <c r="N9" s="25" t="inlineStr">
        <is>
          <t>Soupe aux lentilles et au curry</t>
        </is>
      </c>
      <c r="O9" s="17" t="inlineStr">
        <is>
          <t>Lentil and curry soup</t>
        </is>
      </c>
      <c r="P9" s="25" t="inlineStr">
        <is>
          <t>Creme de pomme de terre douce au lait de coco</t>
        </is>
      </c>
      <c r="Q9" s="17" t="inlineStr">
        <is>
          <t>Sweet potato cream with coconut milk</t>
        </is>
      </c>
      <c r="R9" s="25" t="inlineStr">
        <is>
          <t>Crème de céleri rave à la pomme</t>
        </is>
      </c>
      <c r="S9" s="17" t="inlineStr">
        <is>
          <t>Cream of celeriac with apple</t>
        </is>
      </c>
    </row>
    <row r="10" ht="65.09999999999999" customHeight="1" s="1">
      <c r="A10" s="27" t="n"/>
      <c r="B10" s="28" t="n"/>
      <c r="C10" s="29" t="n"/>
      <c r="D10" s="23" t="inlineStr">
        <is>
          <t>Appetizer</t>
        </is>
      </c>
      <c r="E10" s="24" t="inlineStr">
        <is>
          <t>Entrée</t>
        </is>
      </c>
      <c r="F10" s="25" t="inlineStr">
        <is>
          <t>Salade de cœur de palmier, olive noire et zeste de citron</t>
        </is>
      </c>
      <c r="G10" s="17" t="inlineStr">
        <is>
          <t>Heart of palm, black olive and lemon zest salad</t>
        </is>
      </c>
      <c r="H10" s="25" t="inlineStr">
        <is>
          <t>Salade d'épinards, pommes et noix de grenoble</t>
        </is>
      </c>
      <c r="I10" s="17" t="inlineStr">
        <is>
          <t>Spinach, apple and walnut salad</t>
        </is>
      </c>
      <c r="J10" s="25" t="inlineStr">
        <is>
          <t>Salade de pois chiche et de concombre</t>
        </is>
      </c>
      <c r="K10" s="17" t="inlineStr">
        <is>
          <t>Chickpea and cucumber salad</t>
        </is>
      </c>
      <c r="L10" s="25" t="inlineStr">
        <is>
          <t>Salade de pommes de terres grelots</t>
        </is>
      </c>
      <c r="M10" s="17" t="inlineStr">
        <is>
          <t>Baby potato salad</t>
        </is>
      </c>
      <c r="N10" s="25" t="inlineStr">
        <is>
          <t>Salade césar avec croutons à l'ail et émincé de bacon</t>
        </is>
      </c>
      <c r="O10" s="17" t="inlineStr">
        <is>
          <t>Caesar salad with garlic croutons and shaved bacon</t>
        </is>
      </c>
      <c r="P10" s="25" t="inlineStr">
        <is>
          <t>Salade verte vinaigrette italienne</t>
        </is>
      </c>
      <c r="Q10" s="17" t="inlineStr">
        <is>
          <t>Green salad with Italian vinaigrette</t>
        </is>
      </c>
      <c r="R10" s="25" t="inlineStr">
        <is>
          <t>Salade de quinoa aux tomates</t>
        </is>
      </c>
      <c r="S10" s="17" t="inlineStr">
        <is>
          <t>Quinoa salad with tomatoes</t>
        </is>
      </c>
    </row>
    <row r="11" ht="65.09999999999999" customHeight="1" s="1">
      <c r="A11" s="30" t="n"/>
      <c r="B11" s="31" t="n"/>
      <c r="C11" s="29" t="n"/>
      <c r="D11" s="23" t="inlineStr">
        <is>
          <t>Main course</t>
        </is>
      </c>
      <c r="E11" s="24" t="inlineStr">
        <is>
          <t>Plat principal</t>
        </is>
      </c>
      <c r="F11" s="25" t="inlineStr">
        <is>
          <t>Hamburger steak servi avec oignons frits</t>
        </is>
      </c>
      <c r="G11" s="17" t="inlineStr">
        <is>
          <t>Hamburger steak served with fried onions</t>
        </is>
      </c>
      <c r="H11" s="25" t="inlineStr">
        <is>
          <t>Mijoté de veau aux poivrons rôtis , paprika et origan</t>
        </is>
      </c>
      <c r="I11" s="17" t="inlineStr">
        <is>
          <t>Veal stew with roasted peppers, paprika and oregano</t>
        </is>
      </c>
      <c r="J11" s="25" t="inlineStr">
        <is>
          <t>Fish n' chips</t>
        </is>
      </c>
      <c r="K11" s="17" t="inlineStr">
        <is>
          <t>Fish n' chips</t>
        </is>
      </c>
      <c r="L11" s="25" t="inlineStr">
        <is>
          <t>Moules,  sauce marinara et fines herbes</t>
        </is>
      </c>
      <c r="M11" s="26" t="inlineStr">
        <is>
          <t>Mussels, marinara sauce and fine herbs</t>
        </is>
      </c>
      <c r="N11" s="25" t="inlineStr">
        <is>
          <t>Pavé de  saumon sauce vierge</t>
        </is>
      </c>
      <c r="O11" s="17" t="inlineStr">
        <is>
          <t>Salmon fillet with virgin sauce</t>
        </is>
      </c>
      <c r="P11" s="25" t="inlineStr">
        <is>
          <t>Poitrine de poulet sauce demi glace au zeste de lime et a la coriandre</t>
        </is>
      </c>
      <c r="Q11" s="17" t="inlineStr">
        <is>
          <t>Chicken breast with demi-glace sauce with lime zest and coriander</t>
        </is>
      </c>
      <c r="R11" s="25" t="inlineStr">
        <is>
          <t>Brochettes de crevettes avec beurre a l'ail maison</t>
        </is>
      </c>
      <c r="S11" s="17" t="inlineStr">
        <is>
          <t>Shrimp skewers with homemade garlic butter</t>
        </is>
      </c>
    </row>
    <row r="12" ht="65.09999999999999" customHeight="1" s="1">
      <c r="A12" s="30" t="n"/>
      <c r="B12" s="31" t="n"/>
      <c r="C12" s="29" t="n"/>
      <c r="D12" s="23" t="inlineStr">
        <is>
          <t>Main course</t>
        </is>
      </c>
      <c r="E12" s="24" t="inlineStr">
        <is>
          <t>Plat principal</t>
        </is>
      </c>
      <c r="F12" s="25" t="inlineStr">
        <is>
          <t>Manicottis farcis au fromage ricotta et aux épinards sauce rosée</t>
        </is>
      </c>
      <c r="G12" s="17" t="inlineStr">
        <is>
          <t>Manicotti stuffed with ricotta cheese and spinach with rosée sauce</t>
        </is>
      </c>
      <c r="H12" s="25" t="inlineStr">
        <is>
          <t>Assiette asiatique , eggroll , chop suey aux légumes et riz frit</t>
        </is>
      </c>
      <c r="I12" s="17" t="inlineStr">
        <is>
          <t>Asian plate, eggroll, vegetable chop suey and fried rice</t>
        </is>
      </c>
      <c r="J12" s="25" t="inlineStr">
        <is>
          <t>Mijoté de porc à la sauge et au citron</t>
        </is>
      </c>
      <c r="K12" s="17" t="inlineStr">
        <is>
          <t>Pork Stew with Sage and Lemon</t>
        </is>
      </c>
      <c r="L12" s="25" t="inlineStr">
        <is>
          <t>Pain de viande de bœuf sauce au tomate et à l'ail rôti</t>
        </is>
      </c>
      <c r="M12" s="26" t="inlineStr">
        <is>
          <t>Beef meatloaf with tomato and roasted garlic sauce</t>
        </is>
      </c>
      <c r="N12" s="25" t="inlineStr">
        <is>
          <t>Filet de  dinde roti sauce  au thym et à l'ail roti</t>
        </is>
      </c>
      <c r="O12" s="17" t="inlineStr">
        <is>
          <t>Roast turkey fillet with thyme and roasted garlic sauce</t>
        </is>
      </c>
      <c r="P12" s="25" t="inlineStr">
        <is>
          <t>Bœuf bourguignon</t>
        </is>
      </c>
      <c r="Q12" s="17" t="inlineStr">
        <is>
          <t>Beef bourguignon</t>
        </is>
      </c>
      <c r="R12" s="25" t="inlineStr">
        <is>
          <t>Filet de porc sauce sauce dijonnaise au miel</t>
        </is>
      </c>
      <c r="S12" s="17" t="inlineStr">
        <is>
          <t>Pork tenderloin with honey Dijon sauce</t>
        </is>
      </c>
    </row>
    <row r="13" ht="65.09999999999999" customHeight="1" s="1" thickBot="1">
      <c r="A13" s="32" t="n"/>
      <c r="B13" s="33" t="n"/>
      <c r="C13" s="34" t="n"/>
      <c r="D13" s="35" t="inlineStr">
        <is>
          <t>Dessert</t>
        </is>
      </c>
      <c r="E13" s="36" t="inlineStr">
        <is>
          <t>Dessert</t>
        </is>
      </c>
      <c r="F13" s="37" t="inlineStr">
        <is>
          <t>Carré aux dattes</t>
        </is>
      </c>
      <c r="G13" s="17" t="inlineStr">
        <is>
          <t>Date Square</t>
        </is>
      </c>
      <c r="H13" s="37" t="inlineStr">
        <is>
          <t>Gâteau velour rouge</t>
        </is>
      </c>
      <c r="I13" s="38" t="inlineStr">
        <is>
          <t>Red velvet cake</t>
        </is>
      </c>
      <c r="J13" s="37" t="inlineStr">
        <is>
          <t>Tarte fraise rubarbe</t>
        </is>
      </c>
      <c r="K13" s="17" t="inlineStr">
        <is>
          <t>Strawberry rhubarb tart</t>
        </is>
      </c>
      <c r="L13" s="37" t="inlineStr">
        <is>
          <t>Choux à la crème</t>
        </is>
      </c>
      <c r="M13" s="17" t="inlineStr">
        <is>
          <t>Cream puffs</t>
        </is>
      </c>
      <c r="N13" s="37" t="inlineStr">
        <is>
          <t>Gateau au café</t>
        </is>
      </c>
      <c r="O13" s="17" t="inlineStr">
        <is>
          <t>Coffee cake</t>
        </is>
      </c>
      <c r="P13" s="37" t="inlineStr">
        <is>
          <t>Renversé aux ananas</t>
        </is>
      </c>
      <c r="Q13" s="17" t="inlineStr">
        <is>
          <t>Pineapple spilled</t>
        </is>
      </c>
      <c r="R13" s="37" t="inlineStr">
        <is>
          <t>Tarte aux raisins</t>
        </is>
      </c>
      <c r="S13" s="17" t="inlineStr">
        <is>
          <t>Raisin Pie</t>
        </is>
      </c>
    </row>
  </sheetData>
  <mergeCells count="10">
    <mergeCell ref="C1:R1"/>
    <mergeCell ref="J2:K2"/>
    <mergeCell ref="F2:G2"/>
    <mergeCell ref="A2:B2"/>
    <mergeCell ref="L2:M2"/>
    <mergeCell ref="N2:O2"/>
    <mergeCell ref="P2:Q2"/>
    <mergeCell ref="R2:S2"/>
    <mergeCell ref="H2:I2"/>
    <mergeCell ref="D2:E2"/>
  </mergeCells>
  <pageMargins left="0.7" right="0.7" top="0.75" bottom="0.75" header="0" footer="0"/>
  <pageSetup orientation="landscape" scale="32" pageOrder="overThenDown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Sarah Ouellette</dc:creator>
  <dcterms:created xmlns:dcterms="http://purl.org/dc/terms/" xmlns:xsi="http://www.w3.org/2001/XMLSchema-instance" xsi:type="dcterms:W3CDTF">2018-12-17T21:27:18Z</dcterms:created>
  <dcterms:modified xmlns:dcterms="http://purl.org/dc/terms/" xmlns:xsi="http://www.w3.org/2001/XMLSchema-instance" xsi:type="dcterms:W3CDTF">2022-09-03T20:32:40Z</dcterms:modified>
  <cp:lastModifiedBy>Laurent-Philippe Roy-Lemaire</cp:lastModifiedBy>
  <cp:lastPrinted>2021-06-02T00:02:47Z</cp:lastPrinted>
</cp:coreProperties>
</file>